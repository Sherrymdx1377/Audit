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D3446B16-834C-4B4D-9C39-E63A802F8322}" xr6:coauthVersionLast="47" xr6:coauthVersionMax="47" xr10:uidLastSave="{00000000-0000-0000-0000-000000000000}"/>
  <bookViews>
    <workbookView xWindow="-108" yWindow="-108" windowWidth="23256" windowHeight="12456" xr2:uid="{75E993EA-F05F-9A47-B3BC-976AFB31F09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2" i="1"/>
  <c r="D9" i="1"/>
  <c r="E9" i="1" s="1"/>
  <c r="F9" i="1" s="1"/>
  <c r="G9" i="1" s="1"/>
  <c r="C5" i="1" l="1"/>
  <c r="D5" i="1" s="1"/>
  <c r="E5" i="1" s="1"/>
  <c r="F5" i="1" s="1"/>
  <c r="G5" i="1" s="1"/>
  <c r="C4" i="1"/>
  <c r="D4" i="1" s="1"/>
  <c r="E4" i="1" s="1"/>
  <c r="F4" i="1" s="1"/>
  <c r="G4" i="1" s="1"/>
  <c r="C6" i="1"/>
  <c r="D6" i="1" s="1"/>
  <c r="E6" i="1" s="1"/>
  <c r="F6" i="1" s="1"/>
  <c r="G6" i="1" s="1"/>
  <c r="C3" i="1"/>
  <c r="D2" i="1"/>
  <c r="C7" i="1"/>
  <c r="G3" i="1" l="1"/>
  <c r="D3" i="1"/>
  <c r="F3" i="1"/>
  <c r="E3" i="1"/>
  <c r="G7" i="1"/>
  <c r="F7" i="1"/>
  <c r="E7" i="1"/>
  <c r="D7" i="1"/>
  <c r="E2" i="1"/>
  <c r="D11" i="1" l="1"/>
  <c r="E11" i="1"/>
  <c r="F2" i="1"/>
  <c r="F11" i="1" l="1"/>
  <c r="G2" i="1"/>
  <c r="G11" i="1" s="1"/>
</calcChain>
</file>

<file path=xl/sharedStrings.xml><?xml version="1.0" encoding="utf-8"?>
<sst xmlns="http://schemas.openxmlformats.org/spreadsheetml/2006/main" count="15" uniqueCount="15">
  <si>
    <t>Outlet 1</t>
  </si>
  <si>
    <t>Year 1</t>
  </si>
  <si>
    <t>Year 2</t>
  </si>
  <si>
    <t>Year 3</t>
  </si>
  <si>
    <t>Year 4</t>
  </si>
  <si>
    <t>Year 5</t>
  </si>
  <si>
    <t>Revenue</t>
  </si>
  <si>
    <t>Food input cost</t>
  </si>
  <si>
    <t>Salaries</t>
  </si>
  <si>
    <t>Rent</t>
  </si>
  <si>
    <t>Insurance</t>
  </si>
  <si>
    <t>Net cash flow</t>
  </si>
  <si>
    <t>Utilities</t>
  </si>
  <si>
    <t>Note: This is a future-looking cash flow projection, not to be confused with a cash flow statement that will appear in an entity's financial report presenting historic cash flow information.</t>
  </si>
  <si>
    <t>Allocation of office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</si>
</sst>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name val="Aptos Narrow"/>
      <family val="2"/>
      <scheme val="minor"/>
    </font>
    <font>
      <b/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2" fillId="0" borderId="0" xfId="1" applyNumberFormat="1" applyFont="1"/>
    <xf numFmtId="165" fontId="2" fillId="0" borderId="0" xfId="0" applyNumberFormat="1" applyFont="1"/>
    <xf numFmtId="165" fontId="2" fillId="0" borderId="0" xfId="1" applyNumberFormat="1" applyFont="1"/>
    <xf numFmtId="0" fontId="4" fillId="0" borderId="1" xfId="0" applyFont="1" applyBorder="1"/>
    <xf numFmtId="164" fontId="4" fillId="0" borderId="1" xfId="0" applyNumberFormat="1" applyFont="1" applyBorder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48846</xdr:colOff>
      <xdr:row>14</xdr:row>
      <xdr:rowOff>78155</xdr:rowOff>
    </xdr:from>
    <xdr:to>
      <xdr:col>11</xdr:col>
      <xdr:colOff>732693</xdr:colOff>
      <xdr:row>22</xdr:row>
      <xdr:rowOff>107463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392A4B-061D-0B9C-9A57-01FFF1EBB004}"/>
            </a:ext>
          </a:extLst>
        </xdr:cNvPr>
        <xdr:cNvSpPr txBox="1"/>
      </xdr:nvSpPr>
      <xdr:spPr>
        <a:xfrm>
          <a:off x="48846" y="2823309"/>
          <a:ext cx="11488616" cy="16021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Observations identified after reviewing the cash flow forecast are that the client has:</a:t>
          </a:r>
        </a:p>
        <a:p>
          <a:endParaRPr lang="en-US" sz="12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Made a flat 10% assumption about revenue increasing, even though it is under pressure from competitors and discretionary spending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 adjusted input cost for change in plastic straw law, nor any assumption of climate change or harvest risk, nor inflationary impact on food prices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Only adjusted salaries by 2%, even though the minimum wage law change is expected to add 5% to the cost, at least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 amended the insurance cost to reflect the expected increases 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Incorrectly excluded the head office cost allocation line in Year 5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1A971-64F3-2A4F-8472-F27684667B70}">
  <dimension ref="A1:L24"/>
  <sheetViews>
    <sheetView tabSelected="1" zoomScale="78" zoomScaleNormal="78" workbookViewId="0">
      <selection activeCell="O22" sqref="O22"/>
    </sheetView>
  </sheetViews>
  <sheetFormatPr defaultColWidth="11" defaultRowHeight="15.6" x14ac:dyDescent="0.3"/>
  <cols>
    <col min="1" max="1" width="20" style="1" bestFit="1" customWidth="1"/>
    <col min="2" max="2" width="11" style="1"/>
    <col min="3" max="7" width="13.296875" style="1" bestFit="1" customWidth="1"/>
    <col min="8" max="16384" width="11" style="1"/>
  </cols>
  <sheetData>
    <row r="1" spans="1:12" x14ac:dyDescent="0.3">
      <c r="A1" s="3" t="s">
        <v>0</v>
      </c>
      <c r="B1" s="3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12" x14ac:dyDescent="0.3">
      <c r="A2" s="1" t="s">
        <v>6</v>
      </c>
      <c r="C2" s="4">
        <f>4375000</f>
        <v>4375000</v>
      </c>
      <c r="D2" s="4">
        <f>C2*1.1</f>
        <v>4812500</v>
      </c>
      <c r="E2" s="4">
        <f>D2*1.1</f>
        <v>5293750</v>
      </c>
      <c r="F2" s="4">
        <f>E2*1.1</f>
        <v>5823125.0000000009</v>
      </c>
      <c r="G2" s="4">
        <f>F2*1.1</f>
        <v>6405437.5000000019</v>
      </c>
    </row>
    <row r="3" spans="1:12" x14ac:dyDescent="0.3">
      <c r="A3" s="1" t="s">
        <v>7</v>
      </c>
      <c r="C3" s="5">
        <f>-0.45*C2</f>
        <v>-1968750</v>
      </c>
      <c r="D3" s="6">
        <f>C3</f>
        <v>-1968750</v>
      </c>
      <c r="E3" s="6">
        <f>C3</f>
        <v>-1968750</v>
      </c>
      <c r="F3" s="6">
        <f>C3</f>
        <v>-1968750</v>
      </c>
      <c r="G3" s="6">
        <f>C3</f>
        <v>-1968750</v>
      </c>
    </row>
    <row r="4" spans="1:12" x14ac:dyDescent="0.3">
      <c r="A4" s="1" t="s">
        <v>8</v>
      </c>
      <c r="C4" s="5">
        <f>-0.3*C2</f>
        <v>-1312500</v>
      </c>
      <c r="D4" s="6">
        <f>C4*1.02</f>
        <v>-1338750</v>
      </c>
      <c r="E4" s="6">
        <f>D4*1.02</f>
        <v>-1365525</v>
      </c>
      <c r="F4" s="6">
        <f>E4*1.02</f>
        <v>-1392835.5</v>
      </c>
      <c r="G4" s="6">
        <f>F4*1.02</f>
        <v>-1420692.21</v>
      </c>
    </row>
    <row r="5" spans="1:12" x14ac:dyDescent="0.3">
      <c r="A5" s="1" t="s">
        <v>9</v>
      </c>
      <c r="C5" s="5">
        <f>-0.15*C2</f>
        <v>-656250</v>
      </c>
      <c r="D5" s="6">
        <f>C5*1.03</f>
        <v>-675937.5</v>
      </c>
      <c r="E5" s="6">
        <f>D5*1.03</f>
        <v>-696215.625</v>
      </c>
      <c r="F5" s="6">
        <f>E5*1.03</f>
        <v>-717102.09375</v>
      </c>
      <c r="G5" s="6">
        <f>F5*1.03</f>
        <v>-738615.15656250005</v>
      </c>
    </row>
    <row r="6" spans="1:12" x14ac:dyDescent="0.3">
      <c r="A6" s="1" t="s">
        <v>12</v>
      </c>
      <c r="C6" s="5">
        <f>-C2*0.01</f>
        <v>-43750</v>
      </c>
      <c r="D6" s="5">
        <f>C6*1.1</f>
        <v>-48125.000000000007</v>
      </c>
      <c r="E6" s="5">
        <f>D6*1.1</f>
        <v>-52937.500000000015</v>
      </c>
      <c r="F6" s="5">
        <f>E6*1.05</f>
        <v>-55584.375000000015</v>
      </c>
      <c r="G6" s="5">
        <f>F6*1.05</f>
        <v>-58363.593750000015</v>
      </c>
    </row>
    <row r="7" spans="1:12" x14ac:dyDescent="0.3">
      <c r="A7" s="1" t="s">
        <v>10</v>
      </c>
      <c r="C7" s="5">
        <f>-0.005*C2</f>
        <v>-21875</v>
      </c>
      <c r="D7" s="6">
        <f>C7</f>
        <v>-21875</v>
      </c>
      <c r="E7" s="6">
        <f>C7</f>
        <v>-21875</v>
      </c>
      <c r="F7" s="6">
        <f>C7</f>
        <v>-21875</v>
      </c>
      <c r="G7" s="6">
        <f>C7</f>
        <v>-21875</v>
      </c>
    </row>
    <row r="8" spans="1:12" x14ac:dyDescent="0.3">
      <c r="C8" s="5"/>
      <c r="D8" s="6"/>
      <c r="E8" s="6"/>
      <c r="F8" s="6"/>
      <c r="G8" s="6"/>
    </row>
    <row r="9" spans="1:12" x14ac:dyDescent="0.3">
      <c r="A9" s="1" t="s">
        <v>14</v>
      </c>
      <c r="C9" s="5">
        <v>-100000</v>
      </c>
      <c r="D9" s="6">
        <f>C9*1.02</f>
        <v>-102000</v>
      </c>
      <c r="E9" s="6">
        <f>D9*1.02</f>
        <v>-104040</v>
      </c>
      <c r="F9" s="6">
        <f>E9*1.02</f>
        <v>-106120.8</v>
      </c>
      <c r="G9" s="6">
        <f>F9*1.02</f>
        <v>-108243.216</v>
      </c>
    </row>
    <row r="10" spans="1:12" x14ac:dyDescent="0.3">
      <c r="C10" s="4"/>
    </row>
    <row r="11" spans="1:12" s="3" customFormat="1" x14ac:dyDescent="0.3">
      <c r="A11" s="7" t="s">
        <v>11</v>
      </c>
      <c r="B11" s="7"/>
      <c r="C11" s="8">
        <f>SUM(C2:C9)</f>
        <v>271875</v>
      </c>
      <c r="D11" s="8">
        <f t="shared" ref="D11:F11" si="0">SUM(D2:D9)</f>
        <v>657062.5</v>
      </c>
      <c r="E11" s="8">
        <f t="shared" si="0"/>
        <v>1084406.875</v>
      </c>
      <c r="F11" s="8">
        <f t="shared" si="0"/>
        <v>1560857.2312500009</v>
      </c>
      <c r="G11" s="8">
        <f>SUM(G2:G7)</f>
        <v>2197141.5396875017</v>
      </c>
    </row>
    <row r="13" spans="1:12" x14ac:dyDescent="0.3">
      <c r="A13" s="2" t="s">
        <v>13</v>
      </c>
    </row>
    <row r="14" spans="1:12" ht="16.2" thickBot="1" x14ac:dyDescent="0.35"/>
    <row r="15" spans="1:12" ht="16.2" thickTop="1" x14ac:dyDescent="0.3">
      <c r="A15" s="15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1"/>
    </row>
    <row r="16" spans="1:12" x14ac:dyDescent="0.3">
      <c r="A16" s="16"/>
      <c r="B16" s="9"/>
      <c r="C16" s="9"/>
      <c r="D16" s="9"/>
      <c r="E16" s="9"/>
      <c r="F16" s="9"/>
      <c r="G16" s="9"/>
      <c r="H16" s="9"/>
      <c r="I16" s="9"/>
      <c r="J16" s="9"/>
      <c r="K16" s="9"/>
      <c r="L16" s="12"/>
    </row>
    <row r="17" spans="1:12" x14ac:dyDescent="0.3">
      <c r="A17" s="16"/>
      <c r="B17" s="9"/>
      <c r="C17" s="9"/>
      <c r="D17" s="9"/>
      <c r="E17" s="9"/>
      <c r="F17" s="9"/>
      <c r="G17" s="9"/>
      <c r="H17" s="9"/>
      <c r="I17" s="9"/>
      <c r="J17" s="9"/>
      <c r="K17" s="9"/>
      <c r="L17" s="12"/>
    </row>
    <row r="18" spans="1:12" x14ac:dyDescent="0.3">
      <c r="A18" s="16"/>
      <c r="B18" s="9"/>
      <c r="C18" s="9"/>
      <c r="D18" s="9"/>
      <c r="E18" s="9"/>
      <c r="F18" s="9"/>
      <c r="G18" s="9"/>
      <c r="H18" s="9"/>
      <c r="I18" s="9"/>
      <c r="J18" s="9"/>
      <c r="K18" s="9"/>
      <c r="L18" s="12"/>
    </row>
    <row r="19" spans="1:12" x14ac:dyDescent="0.3">
      <c r="A19" s="16"/>
      <c r="B19" s="9"/>
      <c r="C19" s="9"/>
      <c r="D19" s="9"/>
      <c r="E19" s="9"/>
      <c r="F19" s="9"/>
      <c r="G19" s="9"/>
      <c r="H19" s="9"/>
      <c r="I19" s="9"/>
      <c r="J19" s="9"/>
      <c r="K19" s="9"/>
      <c r="L19" s="12"/>
    </row>
    <row r="20" spans="1:12" x14ac:dyDescent="0.3">
      <c r="A20" s="16"/>
      <c r="B20" s="9"/>
      <c r="C20" s="9"/>
      <c r="D20" s="9"/>
      <c r="E20" s="9"/>
      <c r="F20" s="9"/>
      <c r="G20" s="9"/>
      <c r="H20" s="9"/>
      <c r="I20" s="9"/>
      <c r="J20" s="9"/>
      <c r="K20" s="9"/>
      <c r="L20" s="12"/>
    </row>
    <row r="21" spans="1:12" x14ac:dyDescent="0.3">
      <c r="A21" s="16"/>
      <c r="B21" s="9"/>
      <c r="C21" s="9"/>
      <c r="D21" s="9"/>
      <c r="E21" s="9"/>
      <c r="F21" s="9"/>
      <c r="G21" s="9"/>
      <c r="H21" s="9"/>
      <c r="I21" s="9"/>
      <c r="J21" s="9"/>
      <c r="K21" s="9"/>
      <c r="L21" s="12"/>
    </row>
    <row r="22" spans="1:12" x14ac:dyDescent="0.3">
      <c r="A22" s="16"/>
      <c r="B22" s="9"/>
      <c r="C22" s="9"/>
      <c r="D22" s="9"/>
      <c r="E22" s="9"/>
      <c r="F22" s="9"/>
      <c r="G22" s="9"/>
      <c r="H22" s="9"/>
      <c r="I22" s="9"/>
      <c r="J22" s="9"/>
      <c r="K22" s="9"/>
      <c r="L22" s="12"/>
    </row>
    <row r="23" spans="1:12" ht="16.2" thickBot="1" x14ac:dyDescent="0.35">
      <c r="A23" s="17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4"/>
    </row>
    <row r="24" spans="1:12" ht="16.2" thickTop="1" x14ac:dyDescent="0.3"/>
  </sheetData>
  <mergeCells count="1">
    <mergeCell ref="A15:L2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c908b1-f277-4340-90a9-4611d0b0f078" xsi:nil="true"/>
    <lcf76f155ced4ddcb4097134ff3c332f xmlns="9fa5305f-ea27-4ee8-8773-e4022fe4902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8A5699EEF10A41BECCFF49517E0F26" ma:contentTypeVersion="16" ma:contentTypeDescription="Create a new document." ma:contentTypeScope="" ma:versionID="c5c0091d255bc24eb178f81479ba2f3b">
  <xsd:schema xmlns:xsd="http://www.w3.org/2001/XMLSchema" xmlns:xs="http://www.w3.org/2001/XMLSchema" xmlns:p="http://schemas.microsoft.com/office/2006/metadata/properties" xmlns:ns2="9fa5305f-ea27-4ee8-8773-e4022fe49027" xmlns:ns3="c08a28fc-99ca-4e3f-b1dd-8ec816fa125f" xmlns:ns4="50c908b1-f277-4340-90a9-4611d0b0f078" targetNamespace="http://schemas.microsoft.com/office/2006/metadata/properties" ma:root="true" ma:fieldsID="5d3ebe63889a57650ee1e1bc282a4261" ns2:_="" ns3:_="" ns4:_="">
    <xsd:import namespace="9fa5305f-ea27-4ee8-8773-e4022fe49027"/>
    <xsd:import namespace="c08a28fc-99ca-4e3f-b1dd-8ec816fa125f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5305f-ea27-4ee8-8773-e4022fe490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a28fc-99ca-4e3f-b1dd-8ec816fa125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a206981-f95f-42f2-84e4-118eeb8aedbd}" ma:internalName="TaxCatchAll" ma:showField="CatchAllData" ma:web="c08a28fc-99ca-4e3f-b1dd-8ec816fa12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257B67-5462-420F-8A1F-534AC893AF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1DAB38-5712-43B9-8E8B-A110DCFF0D8F}">
  <ds:schemaRefs>
    <ds:schemaRef ds:uri="http://www.w3.org/XML/1998/namespace"/>
    <ds:schemaRef ds:uri="http://purl.org/dc/elements/1.1/"/>
    <ds:schemaRef ds:uri="9fa5305f-ea27-4ee8-8773-e4022fe49027"/>
    <ds:schemaRef ds:uri="http://schemas.microsoft.com/office/infopath/2007/PartnerControls"/>
    <ds:schemaRef ds:uri="http://schemas.microsoft.com/office/2006/documentManagement/types"/>
    <ds:schemaRef ds:uri="http://purl.org/dc/terms/"/>
    <ds:schemaRef ds:uri="c08a28fc-99ca-4e3f-b1dd-8ec816fa125f"/>
    <ds:schemaRef ds:uri="http://schemas.microsoft.com/office/2006/metadata/properties"/>
    <ds:schemaRef ds:uri="http://schemas.openxmlformats.org/package/2006/metadata/core-properties"/>
    <ds:schemaRef ds:uri="50c908b1-f277-4340-90a9-4611d0b0f078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AEB8FEA-F4D7-4C45-B32B-114F3BB08B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a5305f-ea27-4ee8-8773-e4022fe49027"/>
    <ds:schemaRef ds:uri="c08a28fc-99ca-4e3f-b1dd-8ec816fa125f"/>
    <ds:schemaRef ds:uri="50c908b1-f277-4340-90a9-4611d0b0f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Quirke</dc:creator>
  <cp:keywords/>
  <dc:description/>
  <cp:lastModifiedBy>Shaghayegh Haghbin [sdwh6702]</cp:lastModifiedBy>
  <cp:revision/>
  <dcterms:created xsi:type="dcterms:W3CDTF">2024-04-23T14:51:38Z</dcterms:created>
  <dcterms:modified xsi:type="dcterms:W3CDTF">2025-05-02T05:46:55Z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0x010100008A5699EEF10A41BECCFF49517E0F26</vt:lpwstr>
  </property>
  <property fmtid="{D5CDD505-2E9C-101B-9397-08002B2CF9AE}" pid="3" name="MediaServiceImageTags">
    <vt:lpwstr/>
  </property>
</Properties>
</file>